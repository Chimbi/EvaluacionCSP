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ticipantes_y_Schandry" sheetId="1" state="visible" r:id="rId1"/>
    <sheet xmlns:r="http://schemas.openxmlformats.org/officeDocument/2006/relationships" name="2_Bloques_y_Extincion" sheetId="2" state="visible" r:id="rId2"/>
    <sheet xmlns:r="http://schemas.openxmlformats.org/officeDocument/2006/relationships" name="3_Diccionario_Variables" sheetId="3" state="visible" r:id="rId3"/>
    <sheet xmlns:r="http://schemas.openxmlformats.org/officeDocument/2006/relationships" name="4_Diseno_y_Pot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1" customWidth="1" min="3" max="3"/>
    <col width="20" customWidth="1" min="4" max="4"/>
    <col width="14" customWidth="1" min="5" max="5"/>
    <col width="14" customWidth="1" min="6" max="6"/>
    <col width="14" customWidth="1" min="7" max="7"/>
    <col width="15" customWidth="1" min="8" max="8"/>
    <col width="18" customWidth="1" min="9" max="9"/>
    <col width="18" customWidth="1" min="10" max="10"/>
    <col width="20" customWidth="1" min="11" max="11"/>
    <col width="18" customWidth="1" min="12" max="12"/>
    <col width="23" customWidth="1" min="13" max="13"/>
    <col width="25" customWidth="1" min="14" max="14"/>
    <col width="23" customWidth="1" min="15" max="15"/>
    <col width="25" customWidth="1" min="16" max="16"/>
    <col width="23" customWidth="1" min="17" max="17"/>
    <col width="25" customWidth="1" min="18" max="18"/>
    <col width="22" customWidth="1" min="19" max="19"/>
    <col width="22" customWidth="1" min="20" max="20"/>
    <col width="22" customWidth="1" min="21" max="21"/>
    <col width="30" customWidth="1" min="22" max="22"/>
  </cols>
  <sheetData>
    <row r="1" ht="28" customHeight="1">
      <c r="A1" s="1" t="inlineStr">
        <is>
          <t>ID_Sujeto</t>
        </is>
      </c>
      <c r="B1" s="1" t="inlineStr">
        <is>
          <t>Experimento</t>
        </is>
      </c>
      <c r="C1" s="1" t="inlineStr">
        <is>
          <t>Condicion_Asignada</t>
        </is>
      </c>
      <c r="D1" s="1" t="inlineStr">
        <is>
          <t>Miedo_Especifico</t>
        </is>
      </c>
      <c r="E1" s="1" t="inlineStr">
        <is>
          <t>Edad</t>
        </is>
      </c>
      <c r="F1" s="1" t="inlineStr">
        <is>
          <t>Sexo</t>
        </is>
      </c>
      <c r="G1" s="1" t="inlineStr">
        <is>
          <t>ASI3_Total</t>
        </is>
      </c>
      <c r="H1" s="1" t="inlineStr">
        <is>
          <t>ASI3_Fisico</t>
        </is>
      </c>
      <c r="I1" s="1" t="inlineStr">
        <is>
          <t>MAIA2_Noticing</t>
        </is>
      </c>
      <c r="J1" s="1" t="inlineStr">
        <is>
          <t>MAIA2_Trusting</t>
        </is>
      </c>
      <c r="K1" s="1" t="inlineStr">
        <is>
          <t>FC_LineaBase_BPM</t>
        </is>
      </c>
      <c r="L1" s="1" t="inlineStr">
        <is>
          <t>RMSSD_Basal_ms</t>
        </is>
      </c>
      <c r="M1" s="1" t="inlineStr">
        <is>
          <t>Schandry_25s_Reales</t>
        </is>
      </c>
      <c r="N1" s="1" t="inlineStr">
        <is>
          <t>Schandry_25s_Contados</t>
        </is>
      </c>
      <c r="O1" s="1" t="inlineStr">
        <is>
          <t>Schandry_35s_Reales</t>
        </is>
      </c>
      <c r="P1" s="1" t="inlineStr">
        <is>
          <t>Schandry_35s_Contados</t>
        </is>
      </c>
      <c r="Q1" s="1" t="inlineStr">
        <is>
          <t>Schandry_45s_Reales</t>
        </is>
      </c>
      <c r="R1" s="1" t="inlineStr">
        <is>
          <t>Schandry_45s_Contados</t>
        </is>
      </c>
      <c r="S1" s="1" t="inlineStr">
        <is>
          <t>Iacc_25s (Formula)</t>
        </is>
      </c>
      <c r="T1" s="1" t="inlineStr">
        <is>
          <t>Iacc_35s (Formula)</t>
        </is>
      </c>
      <c r="U1" s="1" t="inlineStr">
        <is>
          <t>Iacc_45s (Formula)</t>
        </is>
      </c>
      <c r="V1" s="1" t="inlineStr">
        <is>
          <t>Iacc_Total_Media (Formula)</t>
        </is>
      </c>
    </row>
    <row r="2">
      <c r="A2" s="2" t="inlineStr">
        <is>
          <t>SUB_001</t>
        </is>
      </c>
      <c r="B2" s="2" t="inlineStr">
        <is>
          <t>EXP1_MODES</t>
        </is>
      </c>
      <c r="C2" s="2" t="inlineStr">
        <is>
          <t>ReliefDerivativeLocked</t>
        </is>
      </c>
      <c r="D2" s="2" t="inlineStr">
        <is>
          <t>SPIDERS</t>
        </is>
      </c>
      <c r="E2" s="2" t="n">
        <v>21</v>
      </c>
      <c r="F2" s="2" t="inlineStr">
        <is>
          <t>F</t>
        </is>
      </c>
      <c r="G2" s="2" t="n">
        <v>34</v>
      </c>
      <c r="H2" s="2" t="n">
        <v>15</v>
      </c>
      <c r="I2" s="2" t="n">
        <v>3.8</v>
      </c>
      <c r="J2" s="2" t="n">
        <v>2.4</v>
      </c>
      <c r="K2" s="2" t="n">
        <v>72</v>
      </c>
      <c r="L2" s="2" t="n">
        <v>41.2</v>
      </c>
      <c r="M2" s="2" t="n">
        <v>30</v>
      </c>
      <c r="N2" s="2" t="n">
        <v>24</v>
      </c>
      <c r="O2" s="2" t="n">
        <v>42</v>
      </c>
      <c r="P2" s="2" t="n">
        <v>33</v>
      </c>
      <c r="Q2" s="2" t="n">
        <v>54</v>
      </c>
      <c r="R2" s="2" t="n">
        <v>41</v>
      </c>
      <c r="S2" s="3">
        <f>MAX(0, 1 - ABS(M2-N2)/M2)</f>
        <v/>
      </c>
      <c r="T2" s="3">
        <f>MAX(0, 1 - ABS(O2-P2)/O2)</f>
        <v/>
      </c>
      <c r="U2" s="3">
        <f>MAX(0, 1 - ABS(Q2-R2)/Q2)</f>
        <v/>
      </c>
      <c r="V2" s="3">
        <f>AVERAGE(S2:U2)</f>
        <v/>
      </c>
    </row>
    <row r="3">
      <c r="A3" s="2" t="inlineStr">
        <is>
          <t>SUB_002</t>
        </is>
      </c>
      <c r="B3" s="2" t="inlineStr">
        <is>
          <t>EXP1_MODES</t>
        </is>
      </c>
      <c r="C3" s="2" t="inlineStr">
        <is>
          <t>ArousalPeakLocked</t>
        </is>
      </c>
      <c r="D3" s="2" t="inlineStr">
        <is>
          <t>SPIDERS</t>
        </is>
      </c>
      <c r="E3" s="2" t="n">
        <v>23</v>
      </c>
      <c r="F3" s="2" t="inlineStr">
        <is>
          <t>M</t>
        </is>
      </c>
      <c r="G3" s="2" t="n">
        <v>31</v>
      </c>
      <c r="H3" s="2" t="n">
        <v>14</v>
      </c>
      <c r="I3" s="2" t="n">
        <v>3.5</v>
      </c>
      <c r="J3" s="2" t="n">
        <v>2.6</v>
      </c>
      <c r="K3" s="2" t="n">
        <v>68</v>
      </c>
      <c r="L3" s="2" t="n">
        <v>48.5</v>
      </c>
      <c r="M3" s="2" t="n">
        <v>28</v>
      </c>
      <c r="N3" s="2" t="n">
        <v>25</v>
      </c>
      <c r="O3" s="2" t="n">
        <v>40</v>
      </c>
      <c r="P3" s="2" t="n">
        <v>35</v>
      </c>
      <c r="Q3" s="2" t="n">
        <v>51</v>
      </c>
      <c r="R3" s="2" t="n">
        <v>44</v>
      </c>
      <c r="S3" s="3">
        <f>MAX(0, 1 - ABS(M3-N3)/M3)</f>
        <v/>
      </c>
      <c r="T3" s="3">
        <f>MAX(0, 1 - ABS(O3-P3)/O3)</f>
        <v/>
      </c>
      <c r="U3" s="3">
        <f>MAX(0, 1 - ABS(Q3-R3)/Q3)</f>
        <v/>
      </c>
      <c r="V3" s="3">
        <f>AVERAGE(S3:U3)</f>
        <v/>
      </c>
    </row>
    <row r="4">
      <c r="A4" s="2" t="inlineStr">
        <is>
          <t>SUB_003</t>
        </is>
      </c>
      <c r="B4" s="2" t="inlineStr">
        <is>
          <t>EXP2_SLOPE</t>
        </is>
      </c>
      <c r="C4" s="2" t="inlineStr">
        <is>
          <t>SlopeGainPerturbation_g0.35</t>
        </is>
      </c>
      <c r="D4" s="2" t="inlineStr">
        <is>
          <t>HEIGHTS</t>
        </is>
      </c>
      <c r="E4" s="2" t="n">
        <v>20</v>
      </c>
      <c r="F4" s="2" t="inlineStr">
        <is>
          <t>F</t>
        </is>
      </c>
      <c r="G4" s="2" t="n">
        <v>38</v>
      </c>
      <c r="H4" s="2" t="n">
        <v>17</v>
      </c>
      <c r="I4" s="2" t="n">
        <v>4.1</v>
      </c>
      <c r="J4" s="2" t="n">
        <v>2.1</v>
      </c>
      <c r="K4" s="2" t="n">
        <v>76</v>
      </c>
      <c r="L4" s="2" t="n">
        <v>34</v>
      </c>
      <c r="M4" s="2" t="n">
        <v>32</v>
      </c>
      <c r="N4" s="2" t="n">
        <v>22</v>
      </c>
      <c r="O4" s="2" t="n">
        <v>44</v>
      </c>
      <c r="P4" s="2" t="n">
        <v>30</v>
      </c>
      <c r="Q4" s="2" t="n">
        <v>57</v>
      </c>
      <c r="R4" s="2" t="n">
        <v>39</v>
      </c>
      <c r="S4" s="3">
        <f>MAX(0, 1 - ABS(M4-N4)/M4)</f>
        <v/>
      </c>
      <c r="T4" s="3">
        <f>MAX(0, 1 - ABS(O4-P4)/O4)</f>
        <v/>
      </c>
      <c r="U4" s="3">
        <f>MAX(0, 1 - ABS(Q4-R4)/Q4)</f>
        <v/>
      </c>
      <c r="V4" s="3">
        <f>AVERAGE(S4:U4)</f>
        <v/>
      </c>
    </row>
    <row r="5">
      <c r="A5" s="2" t="inlineStr">
        <is>
          <t>SUB_004</t>
        </is>
      </c>
      <c r="B5" s="2" t="inlineStr">
        <is>
          <t>EXP3_FADING</t>
        </is>
      </c>
      <c r="C5" s="2" t="inlineStr">
        <is>
          <t>AdaptiveHapticFading</t>
        </is>
      </c>
      <c r="D5" s="2" t="inlineStr">
        <is>
          <t>SOCIAL</t>
        </is>
      </c>
      <c r="E5" s="2" t="n">
        <v>22</v>
      </c>
      <c r="F5" s="2" t="inlineStr">
        <is>
          <t>F</t>
        </is>
      </c>
      <c r="G5" s="2" t="n">
        <v>29</v>
      </c>
      <c r="H5" s="2" t="n">
        <v>13</v>
      </c>
      <c r="I5" s="2" t="n">
        <v>3.2</v>
      </c>
      <c r="J5" s="2" t="n">
        <v>2.9</v>
      </c>
      <c r="K5" s="2" t="n">
        <v>70</v>
      </c>
      <c r="L5" s="2" t="n">
        <v>52.1</v>
      </c>
      <c r="M5" s="2" t="n">
        <v>29</v>
      </c>
      <c r="N5" s="2" t="n">
        <v>26</v>
      </c>
      <c r="O5" s="2" t="n">
        <v>41</v>
      </c>
      <c r="P5" s="2" t="n">
        <v>37</v>
      </c>
      <c r="Q5" s="2" t="n">
        <v>52</v>
      </c>
      <c r="R5" s="2" t="n">
        <v>47</v>
      </c>
      <c r="S5" s="3">
        <f>MAX(0, 1 - ABS(M5-N5)/M5)</f>
        <v/>
      </c>
      <c r="T5" s="3">
        <f>MAX(0, 1 - ABS(O5-P5)/O5)</f>
        <v/>
      </c>
      <c r="U5" s="3">
        <f>MAX(0, 1 - ABS(Q5-R5)/Q5)</f>
        <v/>
      </c>
      <c r="V5" s="3">
        <f>AVERAGE(S5:U5)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1" customWidth="1" min="3" max="3"/>
    <col width="16" customWidth="1" min="4" max="4"/>
    <col width="15" customWidth="1" min="5" max="5"/>
    <col width="19" customWidth="1" min="6" max="6"/>
    <col width="36" customWidth="1" min="7" max="7"/>
    <col width="15" customWidth="1" min="8" max="8"/>
    <col width="19" customWidth="1" min="9" max="9"/>
    <col width="36" customWidth="1" min="10" max="10"/>
    <col width="36" customWidth="1" min="11" max="11"/>
    <col width="25" customWidth="1" min="12" max="12"/>
    <col width="29" customWidth="1" min="13" max="13"/>
    <col width="41" customWidth="1" min="14" max="14"/>
    <col width="28" customWidth="1" min="15" max="15"/>
    <col width="18" customWidth="1" min="16" max="16"/>
    <col width="17" customWidth="1" min="17" max="17"/>
    <col width="28" customWidth="1" min="18" max="18"/>
    <col width="34" customWidth="1" min="19" max="19"/>
    <col width="22" customWidth="1" min="20" max="20"/>
    <col width="26" customWidth="1" min="21" max="21"/>
    <col width="37" customWidth="1" min="22" max="22"/>
  </cols>
  <sheetData>
    <row r="1" ht="28" customHeight="1">
      <c r="A1" s="1" t="inlineStr">
        <is>
          <t>ID_Sujeto</t>
        </is>
      </c>
      <c r="B1" s="1" t="inlineStr">
        <is>
          <t>Experimento</t>
        </is>
      </c>
      <c r="C1" s="1" t="inlineStr">
        <is>
          <t>Condicion</t>
        </is>
      </c>
      <c r="D1" s="1" t="inlineStr">
        <is>
          <t>FC_LineaBase</t>
        </is>
      </c>
      <c r="E1" s="1" t="inlineStr">
        <is>
          <t>FC_Media_B1</t>
        </is>
      </c>
      <c r="F1" s="1" t="inlineStr">
        <is>
          <t>FC_Percibida_B1</t>
        </is>
      </c>
      <c r="G1" s="1" t="inlineStr">
        <is>
          <t>Error_Interoceptivo_B1 (Formula)</t>
        </is>
      </c>
      <c r="H1" s="1" t="inlineStr">
        <is>
          <t>FC_Media_B5</t>
        </is>
      </c>
      <c r="I1" s="1" t="inlineStr">
        <is>
          <t>FC_Percibida_B5</t>
        </is>
      </c>
      <c r="J1" s="1" t="inlineStr">
        <is>
          <t>Error_Interoceptivo_B5 (Formula)</t>
        </is>
      </c>
      <c r="K1" s="1" t="inlineStr">
        <is>
          <t>Mejora_Calibracion_BPM (Formula)</t>
        </is>
      </c>
      <c r="L1" s="1" t="inlineStr">
        <is>
          <t>Expectativa_Pre_0_100</t>
        </is>
      </c>
      <c r="M1" s="1" t="inlineStr">
        <is>
          <t>Expectativa_Post_B5_0_100</t>
        </is>
      </c>
      <c r="N1" s="1" t="inlineStr">
        <is>
          <t>Violacion_Expectativa_Delta (Formula)</t>
        </is>
      </c>
      <c r="O1" s="1" t="inlineStr">
        <is>
          <t>Alivio_Medio_B1_B5_0_100</t>
        </is>
      </c>
      <c r="P1" s="1" t="inlineStr">
        <is>
          <t>SUDS_Pre_0_100</t>
        </is>
      </c>
      <c r="Q1" s="1" t="inlineStr">
        <is>
          <t>SUDS_B5_0_100</t>
        </is>
      </c>
      <c r="R1" s="1" t="inlineStr">
        <is>
          <t>SUDS_Retencion_48h_SinFB</t>
        </is>
      </c>
      <c r="S1" s="1" t="inlineStr">
        <is>
          <t>Retorno_Del_Miedo_T2 (Formula)</t>
        </is>
      </c>
      <c r="T1" s="1" t="inlineStr">
        <is>
          <t>BAT_Pasos_Pre_0_10</t>
        </is>
      </c>
      <c r="U1" s="1" t="inlineStr">
        <is>
          <t>BAT_Pasos_Post48h_0_10</t>
        </is>
      </c>
      <c r="V1" s="1" t="inlineStr">
        <is>
          <t>Ganancia_Conductual_BAT (Formula)</t>
        </is>
      </c>
    </row>
    <row r="2">
      <c r="A2" s="2" t="inlineStr">
        <is>
          <t>SUB_001</t>
        </is>
      </c>
      <c r="B2" s="2" t="inlineStr">
        <is>
          <t>EXP1_MODES</t>
        </is>
      </c>
      <c r="C2" s="2" t="inlineStr">
        <is>
          <t>ReliefDerivativeLocked</t>
        </is>
      </c>
      <c r="D2" s="2" t="n">
        <v>72</v>
      </c>
      <c r="E2" s="2" t="n">
        <v>108</v>
      </c>
      <c r="F2" s="2" t="n">
        <v>135</v>
      </c>
      <c r="G2" s="3">
        <f>F2-E2</f>
        <v/>
      </c>
      <c r="H2" s="2" t="n">
        <v>82</v>
      </c>
      <c r="I2" s="2" t="n">
        <v>85</v>
      </c>
      <c r="J2" s="3">
        <f>I2-H2</f>
        <v/>
      </c>
      <c r="K2" s="3">
        <f>ABS(G2)-ABS(J2)</f>
        <v/>
      </c>
      <c r="L2" s="2" t="n">
        <v>85</v>
      </c>
      <c r="M2" s="2" t="n">
        <v>15</v>
      </c>
      <c r="N2" s="3">
        <f>L2-M2</f>
        <v/>
      </c>
      <c r="O2" s="2" t="n">
        <v>78</v>
      </c>
      <c r="P2" s="2" t="n">
        <v>80</v>
      </c>
      <c r="Q2" s="2" t="n">
        <v>25</v>
      </c>
      <c r="R2" s="2" t="n">
        <v>22</v>
      </c>
      <c r="S2" s="3">
        <f>R2-Q2</f>
        <v/>
      </c>
      <c r="T2" s="2" t="n">
        <v>3</v>
      </c>
      <c r="U2" s="2" t="n">
        <v>9</v>
      </c>
      <c r="V2" s="3">
        <f>U2-T2</f>
        <v/>
      </c>
    </row>
    <row r="3">
      <c r="A3" s="2" t="inlineStr">
        <is>
          <t>SUB_002</t>
        </is>
      </c>
      <c r="B3" s="2" t="inlineStr">
        <is>
          <t>EXP1_MODES</t>
        </is>
      </c>
      <c r="C3" s="2" t="inlineStr">
        <is>
          <t>ArousalPeakLocked</t>
        </is>
      </c>
      <c r="D3" s="2" t="n">
        <v>68</v>
      </c>
      <c r="E3" s="2" t="n">
        <v>104</v>
      </c>
      <c r="F3" s="2" t="n">
        <v>130</v>
      </c>
      <c r="G3" s="3">
        <f>F3-E3</f>
        <v/>
      </c>
      <c r="H3" s="2" t="n">
        <v>84</v>
      </c>
      <c r="I3" s="2" t="n">
        <v>86</v>
      </c>
      <c r="J3" s="3">
        <f>I3-H3</f>
        <v/>
      </c>
      <c r="K3" s="3">
        <f>ABS(G3)-ABS(J3)</f>
        <v/>
      </c>
      <c r="L3" s="2" t="n">
        <v>80</v>
      </c>
      <c r="M3" s="2" t="n">
        <v>10</v>
      </c>
      <c r="N3" s="3">
        <f>L3-M3</f>
        <v/>
      </c>
      <c r="O3" s="2" t="n">
        <v>64</v>
      </c>
      <c r="P3" s="2" t="n">
        <v>75</v>
      </c>
      <c r="Q3" s="2" t="n">
        <v>20</v>
      </c>
      <c r="R3" s="2" t="n">
        <v>20</v>
      </c>
      <c r="S3" s="3">
        <f>R3-Q3</f>
        <v/>
      </c>
      <c r="T3" s="2" t="n">
        <v>4</v>
      </c>
      <c r="U3" s="2" t="n">
        <v>9</v>
      </c>
      <c r="V3" s="3">
        <f>U3-T3</f>
        <v/>
      </c>
    </row>
    <row r="4">
      <c r="A4" s="2" t="inlineStr">
        <is>
          <t>SUB_003</t>
        </is>
      </c>
      <c r="B4" s="2" t="inlineStr">
        <is>
          <t>EXP2_SLOPE</t>
        </is>
      </c>
      <c r="C4" s="2" t="inlineStr">
        <is>
          <t>SlopeGainPerturbation_g0.35</t>
        </is>
      </c>
      <c r="D4" s="2" t="n">
        <v>76</v>
      </c>
      <c r="E4" s="2" t="n">
        <v>112</v>
      </c>
      <c r="F4" s="2" t="n">
        <v>140</v>
      </c>
      <c r="G4" s="3">
        <f>F4-E4</f>
        <v/>
      </c>
      <c r="H4" s="2" t="n">
        <v>88</v>
      </c>
      <c r="I4" s="2" t="n">
        <v>90</v>
      </c>
      <c r="J4" s="3">
        <f>I4-H4</f>
        <v/>
      </c>
      <c r="K4" s="3">
        <f>ABS(G4)-ABS(J4)</f>
        <v/>
      </c>
      <c r="L4" s="2" t="n">
        <v>90</v>
      </c>
      <c r="M4" s="2" t="n">
        <v>12</v>
      </c>
      <c r="N4" s="3">
        <f>L4-M4</f>
        <v/>
      </c>
      <c r="O4" s="2" t="n">
        <v>70</v>
      </c>
      <c r="P4" s="2" t="n">
        <v>85</v>
      </c>
      <c r="Q4" s="2" t="n">
        <v>28</v>
      </c>
      <c r="R4" s="2" t="n">
        <v>24</v>
      </c>
      <c r="S4" s="3">
        <f>R4-Q4</f>
        <v/>
      </c>
      <c r="T4" s="2" t="n">
        <v>2</v>
      </c>
      <c r="U4" s="2" t="n">
        <v>8</v>
      </c>
      <c r="V4" s="3">
        <f>U4-T4</f>
        <v/>
      </c>
    </row>
    <row r="5">
      <c r="A5" s="2" t="inlineStr">
        <is>
          <t>SUB_004</t>
        </is>
      </c>
      <c r="B5" s="2" t="inlineStr">
        <is>
          <t>EXP3_FADING</t>
        </is>
      </c>
      <c r="C5" s="2" t="inlineStr">
        <is>
          <t>AdaptiveHapticFading</t>
        </is>
      </c>
      <c r="D5" s="2" t="n">
        <v>70</v>
      </c>
      <c r="E5" s="2" t="n">
        <v>102</v>
      </c>
      <c r="F5" s="2" t="n">
        <v>125</v>
      </c>
      <c r="G5" s="3">
        <f>F5-E5</f>
        <v/>
      </c>
      <c r="H5" s="2" t="n">
        <v>79</v>
      </c>
      <c r="I5" s="2" t="n">
        <v>80</v>
      </c>
      <c r="J5" s="3">
        <f>I5-H5</f>
        <v/>
      </c>
      <c r="K5" s="3">
        <f>ABS(G5)-ABS(J5)</f>
        <v/>
      </c>
      <c r="L5" s="2" t="n">
        <v>80</v>
      </c>
      <c r="M5" s="2" t="n">
        <v>10</v>
      </c>
      <c r="N5" s="3">
        <f>L5-M5</f>
        <v/>
      </c>
      <c r="O5" s="2" t="n">
        <v>82</v>
      </c>
      <c r="P5" s="2" t="n">
        <v>78</v>
      </c>
      <c r="Q5" s="2" t="n">
        <v>22</v>
      </c>
      <c r="R5" s="2" t="n">
        <v>18</v>
      </c>
      <c r="S5" s="3">
        <f>R5-Q5</f>
        <v/>
      </c>
      <c r="T5" s="2" t="n">
        <v>4</v>
      </c>
      <c r="U5" s="2" t="n">
        <v>10</v>
      </c>
      <c r="V5" s="3">
        <f>U5-T5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26" customWidth="1" min="3" max="3"/>
    <col width="42" customWidth="1" min="4" max="4"/>
  </cols>
  <sheetData>
    <row r="1" ht="28" customHeight="1">
      <c r="A1" s="1" t="inlineStr">
        <is>
          <t>Variable</t>
        </is>
      </c>
      <c r="B1" s="1" t="inlineStr">
        <is>
          <t>Etiqueta Metodológica</t>
        </is>
      </c>
      <c r="C1" s="1" t="inlineStr">
        <is>
          <t>Tipo / Escala</t>
        </is>
      </c>
      <c r="D1" s="1" t="inlineStr">
        <is>
          <t>Fórmula / Operacionalización</t>
        </is>
      </c>
    </row>
    <row r="2">
      <c r="A2" s="2" t="inlineStr">
        <is>
          <t>Iacc_Total_Media</t>
        </is>
      </c>
      <c r="B2" s="2" t="inlineStr">
        <is>
          <t>Precisión Interoceptiva Basal (Tarea de Schandry)</t>
        </is>
      </c>
      <c r="C2" s="2" t="inlineStr">
        <is>
          <t>Continua [0 a 1]</t>
        </is>
      </c>
      <c r="D2" s="2" t="inlineStr">
        <is>
          <t>1 - |Latidos_Reales - Latidos_Contados| / Latidos_Reales</t>
        </is>
      </c>
    </row>
    <row r="3">
      <c r="A3" s="2" t="inlineStr">
        <is>
          <t>Error_Interoceptivo_B1</t>
        </is>
      </c>
      <c r="B3" s="2" t="inlineStr">
        <is>
          <t>Sesgo de Sobreestimación Cardíaca Inicial (BPM)</t>
        </is>
      </c>
      <c r="C3" s="2" t="inlineStr">
        <is>
          <t>Continua (BPM)</t>
        </is>
      </c>
      <c r="D3" s="2" t="inlineStr">
        <is>
          <t>FC_Percibida_B1 - FC_Media_Real_B1</t>
        </is>
      </c>
    </row>
    <row r="4">
      <c r="A4" s="2" t="inlineStr">
        <is>
          <t>Violacion_Expectativa_Delta</t>
        </is>
      </c>
      <c r="B4" s="2" t="inlineStr">
        <is>
          <t>Magnitud de Violación de Expectativa Amenazante</t>
        </is>
      </c>
      <c r="C4" s="2" t="inlineStr">
        <is>
          <t>Continua (0 a 100)</t>
        </is>
      </c>
      <c r="D4" s="2" t="inlineStr">
        <is>
          <t>Expectativa_Pre - Expectativa_Post_B5</t>
        </is>
      </c>
    </row>
    <row r="5">
      <c r="A5" s="2" t="inlineStr">
        <is>
          <t>Alivio_Medio_B1_B5_0_100</t>
        </is>
      </c>
      <c r="B5" s="2" t="inlineStr">
        <is>
          <t>Saliencia de Alivio Subjetivo Intra-Exposición</t>
        </is>
      </c>
      <c r="C5" s="2" t="inlineStr">
        <is>
          <t>Continua (0 a 100)</t>
        </is>
      </c>
      <c r="D5" s="2" t="inlineStr">
        <is>
          <t>Promedio de alivio reportado al cierre de los bloques B1-B5</t>
        </is>
      </c>
    </row>
    <row r="6">
      <c r="A6" s="2" t="inlineStr">
        <is>
          <t>Retorno_Del_Miedo_T2</t>
        </is>
      </c>
      <c r="B6" s="2" t="inlineStr">
        <is>
          <t>Índice de Retorno del Miedo a 48h SIN Feedback</t>
        </is>
      </c>
      <c r="C6" s="2" t="inlineStr">
        <is>
          <t>Continua (-100 a +100)</t>
        </is>
      </c>
      <c r="D6" s="2" t="inlineStr">
        <is>
          <t>SUDS_Retencion_48h_SinFB - SUDS_B5_Final (Valores &lt;= 0 indican consolidación exitosa sin efecto de señal de seguridad)</t>
        </is>
      </c>
    </row>
    <row r="7">
      <c r="A7" s="2" t="inlineStr">
        <is>
          <t>Slope_10s_BPM</t>
        </is>
      </c>
      <c r="B7" s="2" t="inlineStr">
        <is>
          <t>Primera Derivada Cardíaca en Ventana Móvil (10 s)</t>
        </is>
      </c>
      <c r="C7" s="2" t="inlineStr">
        <is>
          <t>Continua (BPM/10s)</t>
        </is>
      </c>
      <c r="D7" s="2" t="inlineStr">
        <is>
          <t>((FC_t - FC_{t-10}) / dt) * 10 (Activa el feedback de alivio cuando &lt;= -2.5 BPM/10s)</t>
        </is>
      </c>
    </row>
    <row r="8">
      <c r="A8" s="2" t="inlineStr">
        <is>
          <t>SlopeGainGamma</t>
        </is>
      </c>
      <c r="B8" s="2" t="inlineStr">
        <is>
          <t>Factor de Perturbación de Pendiente de Recuperación (Exp 2)</t>
        </is>
      </c>
      <c r="C8" s="2" t="inlineStr">
        <is>
          <t>Parámetro Experimental</t>
        </is>
      </c>
      <c r="D8" s="2" t="inlineStr">
        <is>
          <t>FC_haptica(t) = FC_pico - gamma * (FC_pico - FC_real(t))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2" customWidth="1" min="3" max="3"/>
    <col width="42" customWidth="1" min="4" max="4"/>
    <col width="30" customWidth="1" min="5" max="5"/>
    <col width="21" customWidth="1" min="6" max="6"/>
    <col width="14" customWidth="1" min="7" max="7"/>
    <col width="23" customWidth="1" min="8" max="8"/>
  </cols>
  <sheetData>
    <row r="1" ht="28" customHeight="1">
      <c r="A1" s="1" t="inlineStr">
        <is>
          <t>Experimento</t>
        </is>
      </c>
      <c r="B1" s="1" t="inlineStr">
        <is>
          <t>Diseño Estadístico</t>
        </is>
      </c>
      <c r="C1" s="1" t="inlineStr">
        <is>
          <t>Condiciones Entre-Sujetos</t>
        </is>
      </c>
      <c r="D1" s="1" t="inlineStr">
        <is>
          <t>Medidas Repetidas</t>
        </is>
      </c>
      <c r="E1" s="1" t="inlineStr">
        <is>
          <t>Tamaño Efecto Esperado (f)</t>
        </is>
      </c>
      <c r="F1" s="1" t="inlineStr">
        <is>
          <t>Potencia (1-Beta)</t>
        </is>
      </c>
      <c r="G1" s="1" t="inlineStr">
        <is>
          <t>Alpha</t>
        </is>
      </c>
      <c r="H1" s="1" t="inlineStr">
        <is>
          <t>N Total Recomendado</t>
        </is>
      </c>
    </row>
    <row r="2">
      <c r="A2" s="2" t="inlineStr">
        <is>
          <t>Experimento 1 (Ventanas Fase Autonómica)</t>
        </is>
      </c>
      <c r="B2" s="2" t="inlineStr">
        <is>
          <t>ANOVA Mixto / LMM 5 x 3</t>
        </is>
      </c>
      <c r="C2" s="2" t="inlineStr">
        <is>
          <t>5 (Pico, Alivio, Bifásico, Sham, Sin FB)</t>
        </is>
      </c>
      <c r="D2" s="2" t="inlineStr">
        <is>
          <t>3 (Pre, Post-B5, Retención 48h Sin FB)</t>
        </is>
      </c>
      <c r="E2" s="2" t="n">
        <v>0.25</v>
      </c>
      <c r="F2" s="2" t="n">
        <v>0.85</v>
      </c>
      <c r="G2" s="2" t="n">
        <v>0.05</v>
      </c>
      <c r="H2" s="2" t="n">
        <v>100</v>
      </c>
    </row>
    <row r="3">
      <c r="A3" s="2" t="inlineStr">
        <is>
          <t>Experimento 2 (Ganancia de Pendiente gamma)</t>
        </is>
      </c>
      <c r="B3" s="2" t="inlineStr">
        <is>
          <t>ANOVA Mixto / LMM 3 x 3</t>
        </is>
      </c>
      <c r="C3" s="2" t="inlineStr">
        <is>
          <t>3 (gamma=0.35 Meseta, gamma=1.00 Verídico, gamma=1.75 Alivio Rápido)</t>
        </is>
      </c>
      <c r="D3" s="2" t="inlineStr">
        <is>
          <t>3 (Pre, Post-B5, Retención 48h Sin FB)</t>
        </is>
      </c>
      <c r="E3" s="2" t="n">
        <v>0.25</v>
      </c>
      <c r="F3" s="2" t="n">
        <v>0.85</v>
      </c>
      <c r="G3" s="2" t="n">
        <v>0.05</v>
      </c>
      <c r="H3" s="2" t="n">
        <v>72</v>
      </c>
    </row>
    <row r="4">
      <c r="A4" s="2" t="inlineStr">
        <is>
          <t>Experimento 3 (Desvanecimiento Háptico ABA)</t>
        </is>
      </c>
      <c r="B4" s="2" t="inlineStr">
        <is>
          <t>ANOVA Mixto / LMM 3 x 2</t>
        </is>
      </c>
      <c r="C4" s="2" t="inlineStr">
        <is>
          <t>3 (Retiro Abrupto, Desvanecimiento B1-B5, Sin FB)</t>
        </is>
      </c>
      <c r="D4" s="2" t="inlineStr">
        <is>
          <t>2 (Contexto A Final vs. Contexto B Renovación Sin FB)</t>
        </is>
      </c>
      <c r="E4" s="2" t="n">
        <v>0.25</v>
      </c>
      <c r="F4" s="2" t="n">
        <v>0.85</v>
      </c>
      <c r="G4" s="2" t="n">
        <v>0.05</v>
      </c>
      <c r="H4" s="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2026-10-26T00:02:59Z</dcterms:created>
  <dcterms:modified xmlns:dcterms="http://purl.org/dc/terms/" xmlns:xsi="http://www.w3.org/2001/XMLSchema-instance" xsi:type="dcterms:W3CDTF">2026-10-26T00:02:59Z</dcterms:modified>
</cp:coreProperties>
</file>